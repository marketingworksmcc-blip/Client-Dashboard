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marketingworks.sharepoint.com/sites/MarketingWorks/Shared Documents/Clients/Yingst Building Group/_Account Management/Contracts/"/>
    </mc:Choice>
  </mc:AlternateContent>
  <xr:revisionPtr revIDLastSave="322" documentId="8_{CF122835-4033-EB4B-B3F8-4E4E229FE1E5}" xr6:coauthVersionLast="47" xr6:coauthVersionMax="47" xr10:uidLastSave="{DD631080-39C1-FB48-B318-93353C484CF9}"/>
  <bookViews>
    <workbookView xWindow="3480" yWindow="3740" windowWidth="31800" windowHeight="17640" xr2:uid="{B829DBDA-0BA7-DB48-9BC6-CF9EF522898C}"/>
  </bookViews>
  <sheets>
    <sheet name="Overvie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8" i="1" s="1"/>
  <c r="C16" i="1"/>
  <c r="C10" i="1"/>
  <c r="C9" i="1"/>
  <c r="C12" i="1" l="1"/>
  <c r="C11" i="1"/>
  <c r="C8" i="1"/>
  <c r="C7" i="1"/>
  <c r="C17" i="1"/>
  <c r="N14" i="1"/>
  <c r="N18" i="1" s="1"/>
  <c r="M14" i="1"/>
  <c r="M18" i="1" s="1"/>
  <c r="L14" i="1"/>
  <c r="L18" i="1" s="1"/>
  <c r="K14" i="1"/>
  <c r="K18" i="1" s="1"/>
  <c r="J14" i="1"/>
  <c r="J18" i="1" s="1"/>
  <c r="I14" i="1"/>
  <c r="I18" i="1" s="1"/>
  <c r="H14" i="1"/>
  <c r="H18" i="1" s="1"/>
  <c r="G14" i="1"/>
  <c r="G18" i="1" s="1"/>
  <c r="F14" i="1"/>
  <c r="F18" i="1" s="1"/>
  <c r="C18" i="1" l="1"/>
</calcChain>
</file>

<file path=xl/sharedStrings.xml><?xml version="1.0" encoding="utf-8"?>
<sst xmlns="http://schemas.openxmlformats.org/spreadsheetml/2006/main" count="35" uniqueCount="33">
  <si>
    <t>Yingst Building Group</t>
  </si>
  <si>
    <t>Initiative</t>
  </si>
  <si>
    <t>Details</t>
  </si>
  <si>
    <t>Total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</si>
  <si>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</si>
  <si>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</si>
  <si>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</si>
  <si>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</si>
  <si>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</si>
  <si>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</si>
  <si>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</si>
  <si>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</si>
  <si>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</si>
  <si>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</si>
  <si>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Partnership Fee</t>
  </si>
  <si>
    <t>Expense Budget</t>
  </si>
  <si>
    <t>Creative Production (Campaign-Focused)</t>
  </si>
  <si>
    <t>Paid ad creative, campaign-level production, landing page design, brand storytelling assets. Supports performance marketing while internal team handles organic capture.</t>
  </si>
  <si>
    <t>Website &amp; Conversion Infrastructure</t>
  </si>
  <si>
    <t>Build module integrations?, AI-aligned SEO content, chat integration, UX improvements, lead capture optimization. Focused on conversion efficiency.</t>
  </si>
  <si>
    <t>Investment of CRM. Pipeline setup, automation, attribution reporting, lead scoring, dashboards. Connects marketing activity to revenue and backlog forecasting.</t>
  </si>
  <si>
    <t>Experiential / PR (Design Gallery-Centric)</t>
  </si>
  <si>
    <t>Strategic Design Gallery launch + sustained activation (VIP previews, workshops, realtor tours). Becomes recurring experiential marketing platform.</t>
  </si>
  <si>
    <t>Consultation / Strategy &amp; Management</t>
  </si>
  <si>
    <t>Optimization, reporting, sales alignment, pacing adjustments, KPI monitoring. Ensures marketing supports operational rhythm and backlog health.</t>
  </si>
  <si>
    <t>Paid Media</t>
  </si>
  <si>
    <t>Organic Media</t>
  </si>
  <si>
    <t>Organic: Social content amplification, community storytelling, SEO content. Internal team captures content and manages the social pages (from an organic persepctive)</t>
  </si>
  <si>
    <t xml:space="preserve">Paid: Google, Meta, YouTube, CTV, Retargeting, Outdoor (billboards, signage). </t>
  </si>
  <si>
    <t>Fully Integrated Partnership</t>
  </si>
  <si>
    <t>Hubsot Management</t>
  </si>
  <si>
    <t>Setup and integration. Monthly support.</t>
  </si>
  <si>
    <t>CRM / HubSpot Implementation (Client Card)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</si>
</sst>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b/>
      <sz val="12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847C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0" fontId="2" fillId="4" borderId="0" xfId="0" applyFont="1" applyFill="1" applyAlignment="1">
      <alignment wrapText="1"/>
    </xf>
    <xf numFmtId="44" fontId="2" fillId="4" borderId="0" xfId="0" applyNumberFormat="1" applyFont="1" applyFill="1" applyAlignment="1">
      <alignment horizontal="left" vertical="center" wrapText="1"/>
    </xf>
    <xf numFmtId="44" fontId="2" fillId="4" borderId="0" xfId="1" applyFont="1" applyFill="1" applyBorder="1" applyAlignment="1">
      <alignment horizontal="center" vertical="center"/>
    </xf>
    <xf numFmtId="0" fontId="2" fillId="0" borderId="0" xfId="0" applyFont="1"/>
    <xf numFmtId="44" fontId="3" fillId="2" borderId="0" xfId="0" applyNumberFormat="1" applyFont="1" applyFill="1" applyAlignment="1">
      <alignment horizontal="left" vertical="top"/>
    </xf>
    <xf numFmtId="44" fontId="2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14" fontId="2" fillId="0" borderId="0" xfId="0" applyNumberFormat="1" applyFont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44" fontId="4" fillId="0" borderId="0" xfId="0" applyNumberFormat="1" applyFont="1" applyAlignment="1">
      <alignment horizontal="left" vertical="center" wrapText="1"/>
    </xf>
    <xf numFmtId="44" fontId="4" fillId="0" borderId="0" xfId="1" applyFont="1" applyBorder="1" applyAlignment="1">
      <alignment horizontal="center" vertical="center"/>
    </xf>
    <xf numFmtId="44" fontId="4" fillId="0" borderId="0" xfId="1" applyFont="1" applyBorder="1" applyAlignment="1">
      <alignment horizontal="left" vertical="top"/>
    </xf>
    <xf numFmtId="0" fontId="5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44" fontId="4" fillId="0" borderId="0" xfId="0" applyNumberFormat="1" applyFont="1"/>
    <xf numFmtId="44" fontId="2" fillId="0" borderId="0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44" fontId="2" fillId="0" borderId="0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2" fillId="4" borderId="1" xfId="0" applyNumberFormat="1" applyFont="1" applyFill="1" applyBorder="1" applyAlignment="1">
      <alignment horizontal="left" vertical="center" wrapText="1"/>
    </xf>
    <xf numFmtId="44" fontId="2" fillId="4" borderId="1" xfId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E84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6ECB-28E1-5346-87EC-EB11D600D716}">
  <dimension ref="A1:N21"/>
  <sheetViews>
    <sheetView tabSelected="1" topLeftCell="A4" zoomScale="83" workbookViewId="0">
      <selection activeCell="A23" sqref="A23"/>
    </sheetView>
  </sheetViews>
  <sheetFormatPr baseColWidth="10" defaultColWidth="11" defaultRowHeight="16" x14ac:dyDescent="0.2"/>
  <cols>
    <col min="1" max="1" width="39.33203125" style="1" customWidth="1"/>
    <col min="2" max="2" width="49" style="1" customWidth="1"/>
    <col min="3" max="3" width="13.5" style="1" customWidth="1"/>
    <col min="4" max="4" width="6.83203125" style="1" customWidth="1"/>
    <col min="5" max="14" width="13.5" style="1" customWidth="1"/>
    <col min="15" max="16384" width="11" style="1"/>
  </cols>
  <sheetData>
    <row r="1" spans="1:14" x14ac:dyDescent="0.2">
      <c r="A1" s="5" t="s">
        <v>0</v>
      </c>
      <c r="B1" s="8"/>
      <c r="C1" s="8"/>
      <c r="D1" s="8"/>
      <c r="E1" s="8"/>
      <c r="F1" s="8"/>
      <c r="G1" s="8"/>
    </row>
    <row r="2" spans="1:14" x14ac:dyDescent="0.2">
      <c r="A2" s="9" t="s">
        <v>29</v>
      </c>
      <c r="B2" s="10"/>
      <c r="C2" s="10"/>
      <c r="D2" s="10"/>
      <c r="E2" s="10"/>
      <c r="F2" s="10"/>
      <c r="G2" s="10"/>
    </row>
    <row r="3" spans="1:14" x14ac:dyDescent="0.2">
      <c r="A3" s="9"/>
      <c r="B3" s="10"/>
      <c r="C3" s="10"/>
      <c r="D3" s="10"/>
      <c r="E3" s="10"/>
      <c r="F3" s="10"/>
      <c r="G3" s="10"/>
    </row>
    <row r="4" spans="1:14" x14ac:dyDescent="0.2">
      <c r="A4" s="11"/>
      <c r="B4" s="10"/>
      <c r="C4" s="10"/>
      <c r="D4" s="10"/>
      <c r="E4" s="10"/>
      <c r="F4" s="10"/>
      <c r="G4" s="10"/>
    </row>
    <row r="5" spans="1:14" ht="17" x14ac:dyDescent="0.2">
      <c r="A5" s="12" t="s">
        <v>1</v>
      </c>
      <c r="B5" s="13" t="s">
        <v>2</v>
      </c>
      <c r="C5" s="13" t="s">
        <v>3</v>
      </c>
      <c r="E5" s="14" t="s">
        <v>4</v>
      </c>
      <c r="F5" s="14" t="s">
        <v>5</v>
      </c>
      <c r="G5" s="14" t="s">
        <v>6</v>
      </c>
      <c r="H5" s="14" t="s">
        <v>7</v>
      </c>
      <c r="I5" s="14" t="s">
        <v>8</v>
      </c>
      <c r="J5" s="14" t="s">
        <v>9</v>
      </c>
      <c r="K5" s="14" t="s">
        <v>10</v>
      </c>
      <c r="L5" s="14" t="s">
        <v>11</v>
      </c>
      <c r="M5" s="14" t="s">
        <v>12</v>
      </c>
      <c r="N5" s="14" t="s">
        <v>13</v>
      </c>
    </row>
    <row r="6" spans="1:14" x14ac:dyDescent="0.2">
      <c r="A6" s="15" t="s">
        <v>14</v>
      </c>
      <c r="B6" s="16"/>
      <c r="C6" s="16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68" x14ac:dyDescent="0.2">
      <c r="A7" s="1" t="s">
        <v>26</v>
      </c>
      <c r="B7" s="26" t="s">
        <v>27</v>
      </c>
      <c r="C7" s="19">
        <f t="shared" ref="C7:C12" si="0">SUM(D7:N7)</f>
        <v>20000</v>
      </c>
      <c r="E7" s="20">
        <v>2000</v>
      </c>
      <c r="F7" s="20">
        <v>2000</v>
      </c>
      <c r="G7" s="20">
        <v>2000</v>
      </c>
      <c r="H7" s="20">
        <v>2000</v>
      </c>
      <c r="I7" s="20">
        <v>2000</v>
      </c>
      <c r="J7" s="20">
        <v>2000</v>
      </c>
      <c r="K7" s="20">
        <v>2000</v>
      </c>
      <c r="L7" s="20">
        <v>2000</v>
      </c>
      <c r="M7" s="20">
        <v>2000</v>
      </c>
      <c r="N7" s="20">
        <v>2000</v>
      </c>
    </row>
    <row r="8" spans="1:14" ht="51" x14ac:dyDescent="0.2">
      <c r="A8" s="1" t="s">
        <v>16</v>
      </c>
      <c r="B8" s="26" t="s">
        <v>17</v>
      </c>
      <c r="C8" s="19">
        <f t="shared" si="0"/>
        <v>45000</v>
      </c>
      <c r="E8" s="21">
        <v>4500</v>
      </c>
      <c r="F8" s="21">
        <v>4500</v>
      </c>
      <c r="G8" s="21">
        <v>4500</v>
      </c>
      <c r="H8" s="21">
        <v>4500</v>
      </c>
      <c r="I8" s="21">
        <v>4500</v>
      </c>
      <c r="J8" s="21">
        <v>4500</v>
      </c>
      <c r="K8" s="21">
        <v>4500</v>
      </c>
      <c r="L8" s="21">
        <v>4500</v>
      </c>
      <c r="M8" s="21">
        <v>4500</v>
      </c>
      <c r="N8" s="21">
        <v>4500</v>
      </c>
    </row>
    <row r="9" spans="1:14" ht="51" x14ac:dyDescent="0.2">
      <c r="A9" s="1" t="s">
        <v>18</v>
      </c>
      <c r="B9" s="26" t="s">
        <v>19</v>
      </c>
      <c r="C9" s="19">
        <f t="shared" si="0"/>
        <v>30000</v>
      </c>
      <c r="E9" s="20">
        <v>3000</v>
      </c>
      <c r="F9" s="20">
        <v>3000</v>
      </c>
      <c r="G9" s="20">
        <v>3000</v>
      </c>
      <c r="H9" s="20">
        <v>3000</v>
      </c>
      <c r="I9" s="20">
        <v>3000</v>
      </c>
      <c r="J9" s="20">
        <v>3000</v>
      </c>
      <c r="K9" s="20">
        <v>3000</v>
      </c>
      <c r="L9" s="20">
        <v>3000</v>
      </c>
      <c r="M9" s="20">
        <v>3000</v>
      </c>
      <c r="N9" s="20">
        <v>3000</v>
      </c>
    </row>
    <row r="10" spans="1:14" ht="17" x14ac:dyDescent="0.2">
      <c r="A10" s="1" t="s">
        <v>30</v>
      </c>
      <c r="B10" s="26" t="s">
        <v>31</v>
      </c>
      <c r="C10" s="19">
        <f t="shared" si="0"/>
        <v>10000</v>
      </c>
      <c r="E10" s="20">
        <v>1000</v>
      </c>
      <c r="F10" s="20">
        <v>1000</v>
      </c>
      <c r="G10" s="20">
        <v>1000</v>
      </c>
      <c r="H10" s="20">
        <v>1000</v>
      </c>
      <c r="I10" s="20">
        <v>1000</v>
      </c>
      <c r="J10" s="20">
        <v>1000</v>
      </c>
      <c r="K10" s="20">
        <v>1000</v>
      </c>
      <c r="L10" s="20">
        <v>1000</v>
      </c>
      <c r="M10" s="20">
        <v>1000</v>
      </c>
      <c r="N10" s="20">
        <v>1000</v>
      </c>
    </row>
    <row r="11" spans="1:14" ht="51" x14ac:dyDescent="0.2">
      <c r="A11" s="1" t="s">
        <v>21</v>
      </c>
      <c r="B11" s="26" t="s">
        <v>22</v>
      </c>
      <c r="C11" s="19">
        <f t="shared" si="0"/>
        <v>40000</v>
      </c>
      <c r="E11" s="20">
        <v>4000</v>
      </c>
      <c r="F11" s="20">
        <v>4000</v>
      </c>
      <c r="G11" s="20">
        <v>4000</v>
      </c>
      <c r="H11" s="20">
        <v>4000</v>
      </c>
      <c r="I11" s="20">
        <v>4000</v>
      </c>
      <c r="J11" s="20">
        <v>4000</v>
      </c>
      <c r="K11" s="20">
        <v>4000</v>
      </c>
      <c r="L11" s="20">
        <v>4000</v>
      </c>
      <c r="M11" s="20">
        <v>4000</v>
      </c>
      <c r="N11" s="20">
        <v>4000</v>
      </c>
    </row>
    <row r="12" spans="1:14" ht="51" x14ac:dyDescent="0.2">
      <c r="A12" s="1" t="s">
        <v>23</v>
      </c>
      <c r="B12" s="26" t="s">
        <v>24</v>
      </c>
      <c r="C12" s="19">
        <f t="shared" si="0"/>
        <v>110000</v>
      </c>
      <c r="E12" s="20">
        <v>11000</v>
      </c>
      <c r="F12" s="20">
        <v>11000</v>
      </c>
      <c r="G12" s="20">
        <v>11000</v>
      </c>
      <c r="H12" s="20">
        <v>11000</v>
      </c>
      <c r="I12" s="20">
        <v>11000</v>
      </c>
      <c r="J12" s="20">
        <v>11000</v>
      </c>
      <c r="K12" s="20">
        <v>11000</v>
      </c>
      <c r="L12" s="20">
        <v>11000</v>
      </c>
      <c r="M12" s="20">
        <v>11000</v>
      </c>
      <c r="N12" s="20">
        <v>11000</v>
      </c>
    </row>
    <row r="13" spans="1:14" s="5" customFormat="1" x14ac:dyDescent="0.2">
      <c r="A13" s="27"/>
      <c r="B13" s="28"/>
      <c r="C13" s="7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14" s="5" customFormat="1" x14ac:dyDescent="0.2">
      <c r="A14" s="22" t="s">
        <v>3</v>
      </c>
      <c r="B14" s="2"/>
      <c r="C14" s="3"/>
      <c r="E14" s="4">
        <f t="shared" ref="E14:N14" si="1">SUM(E7:E13)</f>
        <v>25500</v>
      </c>
      <c r="F14" s="4">
        <f t="shared" si="1"/>
        <v>25500</v>
      </c>
      <c r="G14" s="4">
        <f t="shared" si="1"/>
        <v>25500</v>
      </c>
      <c r="H14" s="4">
        <f t="shared" si="1"/>
        <v>25500</v>
      </c>
      <c r="I14" s="4">
        <f t="shared" si="1"/>
        <v>25500</v>
      </c>
      <c r="J14" s="4">
        <f t="shared" si="1"/>
        <v>25500</v>
      </c>
      <c r="K14" s="4">
        <f t="shared" si="1"/>
        <v>25500</v>
      </c>
      <c r="L14" s="4">
        <f t="shared" si="1"/>
        <v>25500</v>
      </c>
      <c r="M14" s="4">
        <f t="shared" si="1"/>
        <v>25500</v>
      </c>
      <c r="N14" s="4">
        <f t="shared" si="1"/>
        <v>25500</v>
      </c>
    </row>
    <row r="15" spans="1:14" x14ac:dyDescent="0.2">
      <c r="A15" s="15" t="s">
        <v>15</v>
      </c>
      <c r="B15" s="16"/>
      <c r="C15" s="1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51" x14ac:dyDescent="0.2">
      <c r="A16" s="1" t="s">
        <v>32</v>
      </c>
      <c r="B16" s="26" t="s">
        <v>20</v>
      </c>
      <c r="C16" s="19">
        <f>SUM(D16:N16)</f>
        <v>10000</v>
      </c>
      <c r="E16" s="20">
        <v>1000</v>
      </c>
      <c r="F16" s="20">
        <v>1000</v>
      </c>
      <c r="G16" s="20">
        <v>1000</v>
      </c>
      <c r="H16" s="20">
        <v>1000</v>
      </c>
      <c r="I16" s="20">
        <v>1000</v>
      </c>
      <c r="J16" s="20">
        <v>1000</v>
      </c>
      <c r="K16" s="20">
        <v>1000</v>
      </c>
      <c r="L16" s="20">
        <v>1000</v>
      </c>
      <c r="M16" s="20">
        <v>1000</v>
      </c>
      <c r="N16" s="20">
        <v>1000</v>
      </c>
    </row>
    <row r="17" spans="1:14" ht="34" x14ac:dyDescent="0.2">
      <c r="A17" s="23" t="s">
        <v>25</v>
      </c>
      <c r="B17" s="18" t="s">
        <v>28</v>
      </c>
      <c r="C17" s="19">
        <f>SUM(D17:N17)</f>
        <v>235000</v>
      </c>
      <c r="E17" s="20">
        <v>23500</v>
      </c>
      <c r="F17" s="20">
        <v>23500</v>
      </c>
      <c r="G17" s="20">
        <v>23500</v>
      </c>
      <c r="H17" s="20">
        <v>23500</v>
      </c>
      <c r="I17" s="20">
        <v>23500</v>
      </c>
      <c r="J17" s="20">
        <v>23500</v>
      </c>
      <c r="K17" s="20">
        <v>23500</v>
      </c>
      <c r="L17" s="20">
        <v>23500</v>
      </c>
      <c r="M17" s="20">
        <v>23500</v>
      </c>
      <c r="N17" s="20">
        <v>23500</v>
      </c>
    </row>
    <row r="18" spans="1:14" s="5" customFormat="1" ht="17" thickBot="1" x14ac:dyDescent="0.25">
      <c r="A18" s="30" t="s">
        <v>3</v>
      </c>
      <c r="B18" s="31"/>
      <c r="C18" s="32">
        <f>SUM(C7:C17)</f>
        <v>500000</v>
      </c>
      <c r="E18" s="33">
        <f>SUM(E14:E17)</f>
        <v>50000</v>
      </c>
      <c r="F18" s="33">
        <f t="shared" ref="F18:N18" si="2">SUM(F14:F17)</f>
        <v>50000</v>
      </c>
      <c r="G18" s="33">
        <f t="shared" si="2"/>
        <v>50000</v>
      </c>
      <c r="H18" s="33">
        <f t="shared" si="2"/>
        <v>50000</v>
      </c>
      <c r="I18" s="33">
        <f t="shared" si="2"/>
        <v>50000</v>
      </c>
      <c r="J18" s="33">
        <f t="shared" si="2"/>
        <v>50000</v>
      </c>
      <c r="K18" s="33">
        <f t="shared" si="2"/>
        <v>50000</v>
      </c>
      <c r="L18" s="33">
        <f t="shared" si="2"/>
        <v>50000</v>
      </c>
      <c r="M18" s="33">
        <f t="shared" si="2"/>
        <v>50000</v>
      </c>
      <c r="N18" s="33">
        <f t="shared" si="2"/>
        <v>50000</v>
      </c>
    </row>
    <row r="19" spans="1:14" ht="17" thickTop="1" x14ac:dyDescent="0.2">
      <c r="A19" s="23"/>
      <c r="B19" s="18"/>
      <c r="C19" s="7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4" x14ac:dyDescent="0.2">
      <c r="E20" s="24"/>
    </row>
    <row r="21" spans="1:14" x14ac:dyDescent="0.2">
      <c r="E21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4FD056937C947ADBB571B05A30D2C" ma:contentTypeVersion="17" ma:contentTypeDescription="Create a new document." ma:contentTypeScope="" ma:versionID="e192c68d6e6bfc31e785cbc77084a012">
  <xsd:schema xmlns:xsd="http://www.w3.org/2001/XMLSchema" xmlns:xs="http://www.w3.org/2001/XMLSchema" xmlns:p="http://schemas.microsoft.com/office/2006/metadata/properties" xmlns:ns2="f96f4849-9aa6-4f8e-9a55-f589e869c01f" xmlns:ns3="9257cdb8-f29a-47d2-88f3-24be9247a746" targetNamespace="http://schemas.microsoft.com/office/2006/metadata/properties" ma:root="true" ma:fieldsID="3160d62569b1760ee99dbdfef62d7a3a" ns2:_="" ns3:_="">
    <xsd:import namespace="f96f4849-9aa6-4f8e-9a55-f589e869c01f"/>
    <xsd:import namespace="9257cdb8-f29a-47d2-88f3-24be9247a74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f4849-9aa6-4f8e-9a55-f589e869c01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b6d19ae-5af1-4e8d-baba-53189b769a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57cdb8-f29a-47d2-88f3-24be9247a74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a4d0bca-3d1a-42bf-b935-4778fe714c49}" ma:internalName="TaxCatchAll" ma:showField="CatchAllData" ma:web="9257cdb8-f29a-47d2-88f3-24be9247a7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57cdb8-f29a-47d2-88f3-24be9247a746" xsi:nil="true"/>
    <lcf76f155ced4ddcb4097134ff3c332f xmlns="f96f4849-9aa6-4f8e-9a55-f589e869c0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6AB24E-1A5D-4B75-BAFE-089906C73B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4E0067-CF02-438B-9DE2-3CC255C9CF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6f4849-9aa6-4f8e-9a55-f589e869c01f"/>
    <ds:schemaRef ds:uri="9257cdb8-f29a-47d2-88f3-24be9247a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8FE178-50BF-495A-8766-5C4EDD12F514}">
  <ds:schemaRefs>
    <ds:schemaRef ds:uri="http://www.w3.org/XML/1998/namespace"/>
    <ds:schemaRef ds:uri="http://schemas.openxmlformats.org/package/2006/metadata/core-properties"/>
    <ds:schemaRef ds:uri="9257cdb8-f29a-47d2-88f3-24be9247a746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96f4849-9aa6-4f8e-9a55-f589e869c0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Cambria Bailey</dc:creator>
  <cp:keywords/>
  <dc:description/>
  <cp:lastModifiedBy>Cambria Bailey</cp:lastModifiedBy>
  <cp:revision/>
  <dcterms:created xsi:type="dcterms:W3CDTF">2025-12-24T13:10:27Z</dcterms:created>
  <dcterms:modified xsi:type="dcterms:W3CDTF">2026-03-19T16:11:42Z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0x0101002154FD056937C947ADBB571B05A30D2C</vt:lpwstr>
  </property>
  <property fmtid="{D5CDD505-2E9C-101B-9397-08002B2CF9AE}" pid="3" name="MediaServiceImageTags">
    <vt:lpwstr/>
  </property>
</Properties>
</file>